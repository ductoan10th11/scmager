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2"/>
  <workbookPr/>
  <mc:AlternateContent xmlns:mc="http://schemas.openxmlformats.org/markup-compatibility/2006">
    <mc:Choice Requires="x15">
      <x15ac:absPath xmlns:x15ac="http://schemas.microsoft.com/office/spreadsheetml/2010/11/ac" url="/Users/mac/Documents/2026/"/>
    </mc:Choice>
  </mc:AlternateContent>
  <xr:revisionPtr revIDLastSave="0" documentId="13_ncr:1_{7914CE6F-3ACF-C34D-8A9F-6E22CBF74640}" xr6:coauthVersionLast="47" xr6:coauthVersionMax="47" xr10:uidLastSave="{00000000-0000-0000-0000-000000000000}"/>
  <bookViews>
    <workbookView xWindow="0" yWindow="600" windowWidth="21640" windowHeight="13720" xr2:uid="{00000000-000D-0000-FFFF-FFFF00000000}"/>
  </bookViews>
  <sheets>
    <sheet name="Pl4 Tinh diem"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N24" i="4" l="1"/>
  <c r="N11" i="4"/>
  <c r="N12" i="4"/>
  <c r="N13" i="4"/>
  <c r="N14" i="4"/>
  <c r="N15" i="4"/>
  <c r="N16" i="4"/>
  <c r="N17" i="4"/>
  <c r="N18" i="4"/>
  <c r="N19" i="4"/>
  <c r="N20" i="4"/>
  <c r="N21" i="4"/>
  <c r="N22" i="4"/>
  <c r="N23" i="4"/>
  <c r="H9" i="4"/>
  <c r="H10" i="4"/>
  <c r="H11" i="4"/>
  <c r="H12" i="4"/>
  <c r="H13" i="4"/>
  <c r="I13" i="4" s="1"/>
  <c r="H14" i="4"/>
  <c r="I14" i="4" s="1"/>
  <c r="H15" i="4"/>
  <c r="I15" i="4" s="1"/>
  <c r="L15" i="4" s="1"/>
  <c r="H16" i="4"/>
  <c r="I16" i="4" s="1"/>
  <c r="H17" i="4"/>
  <c r="H18" i="4"/>
  <c r="H19" i="4"/>
  <c r="H20" i="4"/>
  <c r="H21" i="4"/>
  <c r="H22" i="4"/>
  <c r="H23" i="4"/>
  <c r="H8" i="4"/>
  <c r="I8" i="4" s="1"/>
  <c r="L8" i="4" s="1"/>
  <c r="G24" i="4"/>
  <c r="G9" i="4"/>
  <c r="G10" i="4"/>
  <c r="G11" i="4"/>
  <c r="G12" i="4"/>
  <c r="G13" i="4"/>
  <c r="G14" i="4"/>
  <c r="G15" i="4"/>
  <c r="G16" i="4"/>
  <c r="G17" i="4"/>
  <c r="G18" i="4"/>
  <c r="G19" i="4"/>
  <c r="G20" i="4"/>
  <c r="G21" i="4"/>
  <c r="G22" i="4"/>
  <c r="G23" i="4"/>
  <c r="G8" i="4"/>
  <c r="K15" i="4"/>
  <c r="K13" i="4"/>
  <c r="K12" i="4"/>
  <c r="I12" i="4"/>
  <c r="K11" i="4"/>
  <c r="I11" i="4"/>
  <c r="L11" i="4" s="1"/>
  <c r="I10" i="4"/>
  <c r="N10" i="4" s="1"/>
  <c r="K9" i="4"/>
  <c r="I9" i="4"/>
  <c r="N9" i="4" s="1"/>
  <c r="K8" i="4"/>
  <c r="K19" i="4"/>
  <c r="I19" i="4"/>
  <c r="L19" i="4" s="1"/>
  <c r="I18" i="4"/>
  <c r="K17" i="4"/>
  <c r="I17" i="4"/>
  <c r="K16" i="4"/>
  <c r="L14" i="4" l="1"/>
  <c r="L10" i="4"/>
  <c r="N8" i="4"/>
  <c r="L12" i="4"/>
  <c r="L9" i="4"/>
  <c r="L13" i="4"/>
  <c r="L17" i="4"/>
  <c r="L16" i="4"/>
  <c r="L18" i="4"/>
  <c r="K23" i="4"/>
  <c r="I23" i="4"/>
  <c r="I22" i="4"/>
  <c r="L22" i="4" s="1"/>
  <c r="K21" i="4"/>
  <c r="I21" i="4"/>
  <c r="K20" i="4"/>
  <c r="I20" i="4"/>
  <c r="I24" i="4" l="1"/>
  <c r="L20" i="4"/>
  <c r="L21" i="4"/>
  <c r="I25" i="4"/>
  <c r="I30" i="4" s="1"/>
  <c r="L23" i="4"/>
  <c r="N25" i="4" l="1"/>
  <c r="I31" i="4" s="1"/>
  <c r="L24" i="4"/>
  <c r="L25" i="4" s="1"/>
  <c r="I32" i="4" s="1"/>
  <c r="M30" i="4" l="1"/>
  <c r="K30" i="4"/>
</calcChain>
</file>

<file path=xl/sharedStrings.xml><?xml version="1.0" encoding="utf-8"?>
<sst xmlns="http://schemas.openxmlformats.org/spreadsheetml/2006/main" count="97" uniqueCount="79">
  <si>
    <t>STT</t>
  </si>
  <si>
    <t>Báo cáo chuyên đề</t>
  </si>
  <si>
    <t>Nội dung nhiệm vụ</t>
  </si>
  <si>
    <t>GIAO NHIỆM VỤ</t>
  </si>
  <si>
    <t xml:space="preserve"> ĐÁNH GIÁ</t>
  </si>
  <si>
    <t>Ngày hết hạn</t>
  </si>
  <si>
    <t>Sản phẩm công việc</t>
  </si>
  <si>
    <t>Hệ số quy đổi</t>
  </si>
  <si>
    <t>Số lượng giao</t>
  </si>
  <si>
    <t>Số lượng giao quy đổi</t>
  </si>
  <si>
    <t>Đánh giá số lượng</t>
  </si>
  <si>
    <t>Đánh giá tiến độ</t>
  </si>
  <si>
    <t>Đánh giá chất lượng</t>
  </si>
  <si>
    <t>Số lượng hoàn thành thực tế</t>
  </si>
  <si>
    <t xml:space="preserve">Số lượng hoàn thành thực tế quy đổi </t>
  </si>
  <si>
    <t>Ngày hoàn thành</t>
  </si>
  <si>
    <t>Số ngày chậm tiến độ</t>
  </si>
  <si>
    <t>Số lượng hoàn thành thực tế đạt tiến độ quy đổi</t>
  </si>
  <si>
    <t>Số lần yêu cầu làm lại</t>
  </si>
  <si>
    <t>Số lượng hoàn thành thực tế đạt chất lượng quy đổi</t>
  </si>
  <si>
    <t>(1)</t>
  </si>
  <si>
    <t>(2)</t>
  </si>
  <si>
    <t>(3)</t>
  </si>
  <si>
    <t>(4)</t>
  </si>
  <si>
    <t>(5)</t>
  </si>
  <si>
    <t>(6)</t>
  </si>
  <si>
    <t>(7) =(5)*(6)</t>
  </si>
  <si>
    <t>(8)</t>
  </si>
  <si>
    <t>(9) = (5) * (8)</t>
  </si>
  <si>
    <t>(10)</t>
  </si>
  <si>
    <t>(11) = (10)-(3)</t>
  </si>
  <si>
    <t>(12) = (9)-(11)*25%*(9)</t>
  </si>
  <si>
    <t>(13)</t>
  </si>
  <si>
    <t>(14) = (9)-(13)*25%* (9)</t>
  </si>
  <si>
    <t>Tổng cộng</t>
  </si>
  <si>
    <t>Điểm tỷ lệ phần trăm (%) về số lượng, tiến độ, chất lượng kết quả thực hiện nhiệm vụ</t>
  </si>
  <si>
    <t>Công văn</t>
  </si>
  <si>
    <t>Tờ trình, Quyết định</t>
  </si>
  <si>
    <t>TT</t>
  </si>
  <si>
    <r>
      <rPr>
        <b/>
        <sz val="12"/>
        <color theme="1"/>
        <rFont val="Times New Roman"/>
        <family val="1"/>
      </rPr>
      <t xml:space="preserve">Lưu ý: </t>
    </r>
    <r>
      <rPr>
        <sz val="12"/>
        <color theme="1"/>
        <rFont val="Times New Roman"/>
        <family val="2"/>
      </rPr>
      <t>Cột 2,4,5 tự động lấy từ danh mục sản phẩm/ công việc đã được phê duyệt; Cột 3, 6 sẽ do người quản lý giao, Cột 8,13 cá nhận tự báo cáo, người quản lý duyệt, Cột 7, 9, 11 (hoàn thành trước hạn thì điền 0), 12, 14 tính theo công thức.</t>
    </r>
  </si>
  <si>
    <t xml:space="preserve">Chỉ tiêu đánh giá </t>
  </si>
  <si>
    <t xml:space="preserve">Điểm tỷ lệ phần trăm (%) về số lượng kết quả thực hiện nhiệm vụ </t>
  </si>
  <si>
    <t xml:space="preserve">Điểm tỷ lệ phần trăm (%) về chất lượng kết quả thực hiện nhiệm vụ </t>
  </si>
  <si>
    <t xml:space="preserve">Điểm tỷ lệ phần trăm (%) về tiến độ kết quả thực hiện nhiệm vụ </t>
  </si>
  <si>
    <t xml:space="preserve">Điểm tỷ lệ phần trăm (%) về kết quả hoạt động của lĩnh vực được giao lãnh đạo, quản lý, phụ trách </t>
  </si>
  <si>
    <t xml:space="preserve">Điểm tỷ lệ phần trăm (%) về khả năng tổ chức triển khai thực hiện nhiệm vụ </t>
  </si>
  <si>
    <t xml:space="preserve">Điểm tỷ lệ phần trăm (%) về năng lực tập hợp, đoàn kết công chức thuộc phạm vi  quản lý </t>
  </si>
  <si>
    <t>a</t>
  </si>
  <si>
    <t>b</t>
  </si>
  <si>
    <t>c</t>
  </si>
  <si>
    <t>d</t>
  </si>
  <si>
    <t>đ</t>
  </si>
  <si>
    <t>e</t>
  </si>
  <si>
    <t xml:space="preserve">Đơn vị tính </t>
  </si>
  <si>
    <t>Kết quả thực hiện</t>
  </si>
  <si>
    <t xml:space="preserve">% </t>
  </si>
  <si>
    <t>Công chức không giữ chức vụ</t>
  </si>
  <si>
    <t>Cán bộ lãnh đạo, quản lý</t>
  </si>
  <si>
    <t>10=(a+b+c)/3</t>
  </si>
  <si>
    <t>11=(a+b+c+d+đ+e)/6</t>
  </si>
  <si>
    <t xml:space="preserve">Trong ví dụ trên: Giả sử kết quả thực hiện về số lượng, tiến độ, chất lượng của công chức giữ chức vụ lãnh đạo, quản lý liên quan đến nhiệm vụ do công chức trực tiếp phụ trách thực hiện; Không có chuyên viên thuộc phạm vi  quản lý hoàn thành &lt;50 điểm (chấm d=100%); Tiến độ thực hiện nhiệm vụ “ Soạn thảo văn bản tham gia ý kiến với đơn vị chủ trì” chậm quá 4 ngày (chấm đ=50%); Không phát sinh phản ánh, khiếu nại, kiến nghị về mâu thuẫn, mất đoàn kết nội bộ (e=100%). </t>
  </si>
  <si>
    <t xml:space="preserve"> Bảng kết quả thực hiện nhiệm vụ quý ... Năm ...</t>
  </si>
  <si>
    <t>Họ và tên: Nguyễn Quang Hưng</t>
  </si>
  <si>
    <t>864/UBND-VPBáo cáo định kỳ Tháng 6 và Báo cáo 6 tháng đầu năm theo chức năng của phòng gửi về UBND xã (qua Văn phòng)</t>
  </si>
  <si>
    <t>2844/SNNMT-KLGóp ý đối với dự thảo Tài liệu hướng dẫn thực hiện quy định EUDR dành cho doanh nghiệp siêu nhỏ, nhỏ và vừa.</t>
  </si>
  <si>
    <t>2868/SNNMT-PTNTTiếp tục rà soát, cập nhật bổ sung danh sách Tổ hợp tác, Hợp tác xã, Liên hiệp Hợp tác xã trong lĩnh vực nông nghiệp và môi trường trên địa bàn và gửi Sở Nông nghiệp và Môi trường.</t>
  </si>
  <si>
    <t>Báo cáo nông lâm sản t6</t>
  </si>
  <si>
    <t>3451/STC-ĐKKDBáo cáo kết quả thực hiện nhiệm vụ về phát triển kinh tế tư nhân đến tháng 6 năm 2026</t>
  </si>
  <si>
    <t>3526/STC-ĐKKDRà soát, tổng hợp và báo cáo kết quả thực hiện 6 tháng đầu năm 2026 các nhiệm vụ được giao tại Kế hoạch số 45/KH-BCĐ về phát triển doanh nghiệp, kinh tế tập thể, hợp tác xã.</t>
  </si>
  <si>
    <t>3209/SNNMT-KLTham gia ý kiến về hồ sơ dự thảo Thông tư quy định về phương pháp định giá rừng và xác định mức chi trả dịch vụ hấp thụ và lưu giữ các-bon của rừng</t>
  </si>
  <si>
    <t>356/TKT-CNXDTổ chức tuyên truyền trên hệ thống loa truyền thanh địa phương và các trang thông tin điện tử về ý nghĩa, thông điệp chống sa mạc hóa và hạn hán năm 2026: “Rangelands: Recognize. Respect. Restore" - “Nhận diện tài nguyên đất. Trân trọng thiên nhiên xanh. Phục hồi hệ sinh thái”.</t>
  </si>
  <si>
    <t>3159/SNNMT-TLRà soát, báo cáo tình hình thực hiện chính sách hỗ trợ khôi phục sản xuất nông nghiệp bị thiệt hại do thiên tai, dịch bệnh; đánh giá quy trình, rà soát các trường hợp chưa được giải quyết và đề xuất kiến nghị.</t>
  </si>
  <si>
    <t>3427/SNNMT-MTKS</t>
  </si>
  <si>
    <t>3308/SNNMT-PTNTTham gia góp ý vào dự thảo Kế hoạch thực hiện đào tạo nâng cao chất lượng lao động ngành nông nghiệp và phối hợp thực hiện.</t>
  </si>
  <si>
    <t>3307/SNNMT-KLRà soát, tổng hợp nhu cầu cây giống trồng phân tán (cây cảnh quan, bóng mát lâu năm) và nhu cầu cây giống trồng rừng phòng hộ đối với diện tích rừng phòng hộ thuộc phạm vi quản lý của xã, phường giai đoạn 2026 - 2030.</t>
  </si>
  <si>
    <t>3410/SNN</t>
  </si>
  <si>
    <t>3400/SNNMT-KHTCBáo cáo kết quả tổ chức, triển khai thực hiện các Nghị quyết của HĐND tỉnh theo biểu tại phụ lục đính kèm.</t>
  </si>
  <si>
    <t>Nghị quyết 02</t>
  </si>
  <si>
    <t>3482/SNNMT-KLĐánh giá kết quả thực hiện công tác bảo vệ và phát triển rừng 6 tháng đầu năm và ước thực hiện năm 2026; Xây dựng kế hoạch, dự toán kinh phí NSNN năm 2027 thực hiện bảo vệ và phát triển rừng.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</si>
</sst>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0" x14ac:knownFonts="1">
    <font>
      <sz val="12"/>
      <color theme="1"/>
      <name val="Times New Roman"/>
      <family val="2"/>
    </font>
    <font>
      <sz val="12"/>
      <color rgb="FF000000"/>
      <name val="Times New Roman"/>
      <family val="1"/>
    </font>
    <font>
      <b/>
      <sz val="12"/>
      <color theme="1"/>
      <name val="Times New Roman"/>
      <family val="1"/>
    </font>
    <font>
      <sz val="12"/>
      <color theme="1"/>
      <name val="Times New Roman"/>
      <family val="1"/>
    </font>
    <font>
      <sz val="11"/>
      <color theme="1"/>
      <name val="Calibri"/>
      <family val="2"/>
      <scheme val="minor"/>
    </font>
    <font>
      <b/>
      <sz val="14"/>
      <color rgb="FF000000"/>
      <name val="Times New Roman"/>
      <family val="1"/>
    </font>
    <font>
      <i/>
      <sz val="14"/>
      <color rgb="FF000000"/>
      <name val="Times New Roman"/>
      <family val="1"/>
    </font>
    <font>
      <sz val="11"/>
      <color rgb="FF000000"/>
      <name val="Times New Roman"/>
      <family val="1"/>
    </font>
    <font>
      <sz val="12"/>
      <name val="Times New Roman"/>
      <family val="1"/>
    </font>
    <font>
      <b/>
      <sz val="14"/>
      <color theme="1"/>
      <name val="Times New Roman"/>
      <family val="1"/>
    </font>
    <font>
      <b/>
      <sz val="16"/>
      <color theme="1"/>
      <name val="Times New Roman"/>
      <family val="1"/>
    </font>
    <font>
      <i/>
      <sz val="14"/>
      <color theme="1"/>
      <name val="Times New Roman"/>
      <family val="1"/>
    </font>
    <font>
      <b/>
      <sz val="11"/>
      <color theme="1"/>
      <name val="Times New Roman"/>
      <family val="1"/>
    </font>
    <font>
      <sz val="11"/>
      <color theme="1"/>
      <name val="Times New Roman"/>
      <family val="1"/>
    </font>
    <font>
      <i/>
      <sz val="10"/>
      <color theme="1"/>
      <name val="Times New Roman"/>
      <family val="1"/>
    </font>
    <font>
      <b/>
      <sz val="10"/>
      <color theme="1"/>
      <name val="Times New Roman"/>
      <family val="1"/>
    </font>
    <font>
      <sz val="12"/>
      <color rgb="FF303030"/>
      <name val="Times New Roman"/>
      <family val="1"/>
    </font>
    <font>
      <i/>
      <sz val="12"/>
      <color theme="1"/>
      <name val="Times New Roman"/>
      <family val="1"/>
    </font>
    <font>
      <sz val="11"/>
      <color theme="1"/>
      <name val="Calibri"/>
      <scheme val="minor"/>
    </font>
    <font>
      <sz val="14"/>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6">
    <xf numFmtId="0" fontId="0" fillId="0" borderId="0"/>
    <xf numFmtId="0" fontId="4" fillId="0" borderId="0"/>
    <xf numFmtId="43" fontId="4" fillId="0" borderId="0" applyFont="0" applyFill="0" applyBorder="0" applyAlignment="0" applyProtection="0"/>
    <xf numFmtId="0" fontId="4" fillId="0" borderId="0"/>
    <xf numFmtId="0" fontId="18" fillId="0" borderId="0"/>
    <xf numFmtId="0" fontId="4" fillId="0" borderId="0"/>
  </cellStyleXfs>
  <cellXfs count="63">
    <xf numFmtId="0" fontId="0" fillId="0" borderId="0" xfId="0"/>
    <xf numFmtId="0" fontId="11" fillId="0" borderId="0" xfId="0" applyFont="1" applyAlignment="1">
      <alignment horizontal="center" vertical="center"/>
    </xf>
    <xf numFmtId="0" fontId="11" fillId="0" borderId="0" xfId="0" applyFont="1"/>
    <xf numFmtId="0" fontId="10" fillId="0" borderId="0" xfId="0" applyFont="1" applyAlignment="1">
      <alignment horizontal="center" vertical="center"/>
    </xf>
    <xf numFmtId="0" fontId="13" fillId="2" borderId="1"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4" fillId="2" borderId="4" xfId="0" quotePrefix="1"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2" borderId="1" xfId="0" applyFont="1" applyFill="1" applyBorder="1" applyAlignment="1">
      <alignment vertical="center" wrapText="1"/>
    </xf>
    <xf numFmtId="14" fontId="13" fillId="2" borderId="1" xfId="0" applyNumberFormat="1" applyFont="1" applyFill="1" applyBorder="1" applyAlignment="1">
      <alignment horizontal="center" vertical="center" wrapText="1"/>
    </xf>
    <xf numFmtId="0" fontId="3" fillId="2" borderId="1" xfId="0" applyFont="1" applyFill="1" applyBorder="1" applyAlignment="1">
      <alignment vertical="center" wrapText="1"/>
    </xf>
    <xf numFmtId="164" fontId="3" fillId="2" borderId="1" xfId="0" applyNumberFormat="1" applyFont="1" applyFill="1" applyBorder="1" applyAlignment="1">
      <alignment horizontal="center" vertical="center" wrapText="1"/>
    </xf>
    <xf numFmtId="164" fontId="8" fillId="2" borderId="1" xfId="0" applyNumberFormat="1" applyFont="1" applyFill="1" applyBorder="1" applyAlignment="1">
      <alignment horizontal="center" vertical="center" wrapText="1"/>
    </xf>
    <xf numFmtId="14" fontId="12" fillId="2" borderId="1" xfId="0" applyNumberFormat="1" applyFont="1" applyFill="1" applyBorder="1" applyAlignment="1">
      <alignment horizontal="center" vertical="center" wrapText="1"/>
    </xf>
    <xf numFmtId="10" fontId="2" fillId="2" borderId="1" xfId="0" applyNumberFormat="1" applyFont="1" applyFill="1" applyBorder="1" applyAlignment="1">
      <alignment horizontal="center" vertical="center" wrapText="1"/>
    </xf>
    <xf numFmtId="0" fontId="7" fillId="0" borderId="1" xfId="0" applyFont="1" applyBorder="1" applyAlignment="1">
      <alignment vertical="center" wrapText="1"/>
    </xf>
    <xf numFmtId="0" fontId="7" fillId="0" borderId="9" xfId="0" applyFont="1" applyBorder="1" applyAlignment="1">
      <alignment vertical="center" wrapText="1"/>
    </xf>
    <xf numFmtId="0" fontId="7" fillId="0" borderId="4" xfId="0" applyFont="1" applyBorder="1" applyAlignment="1">
      <alignment vertical="center" wrapText="1"/>
    </xf>
    <xf numFmtId="0" fontId="16" fillId="0" borderId="4" xfId="0" applyFont="1" applyBorder="1" applyAlignment="1">
      <alignment vertical="center" wrapText="1"/>
    </xf>
    <xf numFmtId="164" fontId="3" fillId="2" borderId="0" xfId="0" applyNumberFormat="1" applyFont="1" applyFill="1" applyBorder="1" applyAlignment="1">
      <alignment horizontal="center" vertical="center" wrapText="1"/>
    </xf>
    <xf numFmtId="0" fontId="2" fillId="2" borderId="3" xfId="0" applyFont="1" applyFill="1" applyBorder="1" applyAlignment="1">
      <alignment vertical="center" wrapText="1"/>
    </xf>
    <xf numFmtId="0" fontId="8" fillId="2"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0" borderId="1" xfId="0" applyBorder="1" applyAlignment="1">
      <alignment horizontal="center"/>
    </xf>
    <xf numFmtId="0" fontId="2" fillId="0" borderId="1" xfId="0" applyFont="1" applyBorder="1" applyAlignment="1">
      <alignment horizontal="center"/>
    </xf>
    <xf numFmtId="0" fontId="5"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7" fillId="0" borderId="1" xfId="0" applyFont="1" applyBorder="1" applyAlignment="1">
      <alignment horizontal="center" vertical="center"/>
    </xf>
    <xf numFmtId="0" fontId="6" fillId="0" borderId="1" xfId="0" applyFont="1" applyBorder="1" applyAlignment="1">
      <alignment horizontal="center" vertical="center" wrapText="1"/>
    </xf>
    <xf numFmtId="10" fontId="12" fillId="2" borderId="1" xfId="0" applyNumberFormat="1" applyFont="1" applyFill="1" applyBorder="1" applyAlignment="1">
      <alignment horizontal="center" vertical="center" wrapText="1"/>
    </xf>
    <xf numFmtId="0" fontId="0" fillId="3" borderId="5" xfId="0" applyFill="1" applyBorder="1" applyAlignment="1">
      <alignment horizontal="center"/>
    </xf>
    <xf numFmtId="0" fontId="0" fillId="3" borderId="6"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9" fillId="0" borderId="1" xfId="0" applyFont="1" applyBorder="1" applyAlignment="1">
      <alignment horizontal="center" wrapText="1"/>
    </xf>
    <xf numFmtId="0" fontId="17" fillId="0" borderId="1" xfId="0" applyFont="1" applyBorder="1" applyAlignment="1">
      <alignment horizontal="center" vertical="center"/>
    </xf>
    <xf numFmtId="10" fontId="2" fillId="2" borderId="5" xfId="0" applyNumberFormat="1" applyFont="1" applyFill="1" applyBorder="1" applyAlignment="1">
      <alignment horizontal="center" vertical="center" wrapText="1"/>
    </xf>
    <xf numFmtId="10" fontId="2" fillId="2" borderId="6" xfId="0" applyNumberFormat="1" applyFont="1" applyFill="1" applyBorder="1" applyAlignment="1">
      <alignment horizontal="center" vertical="center" wrapText="1"/>
    </xf>
    <xf numFmtId="10" fontId="2" fillId="2" borderId="10" xfId="0" applyNumberFormat="1" applyFont="1" applyFill="1" applyBorder="1" applyAlignment="1">
      <alignment horizontal="center" vertical="center" wrapText="1"/>
    </xf>
    <xf numFmtId="10" fontId="2" fillId="2" borderId="11" xfId="0" applyNumberFormat="1" applyFont="1" applyFill="1" applyBorder="1" applyAlignment="1">
      <alignment horizontal="center" vertical="center" wrapText="1"/>
    </xf>
    <xf numFmtId="10" fontId="2" fillId="2" borderId="7" xfId="0" applyNumberFormat="1" applyFont="1" applyFill="1" applyBorder="1" applyAlignment="1">
      <alignment horizontal="center" vertical="center" wrapText="1"/>
    </xf>
    <xf numFmtId="10" fontId="2" fillId="2" borderId="8" xfId="0" applyNumberFormat="1"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9" fillId="0" borderId="1" xfId="0" applyFont="1" applyBorder="1" applyAlignment="1">
      <alignment horizontal="left" vertical="center" wrapText="1"/>
    </xf>
    <xf numFmtId="10" fontId="19" fillId="0" borderId="1" xfId="0" applyNumberFormat="1" applyFont="1" applyBorder="1" applyAlignment="1">
      <alignment horizontal="center" vertical="center" wrapText="1"/>
    </xf>
    <xf numFmtId="9" fontId="19"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horizontal="left" wrapText="1"/>
    </xf>
    <xf numFmtId="0" fontId="10" fillId="0" borderId="0" xfId="0" applyFont="1" applyAlignment="1">
      <alignment horizontal="center" vertical="center"/>
    </xf>
    <xf numFmtId="0" fontId="11" fillId="0" borderId="0" xfId="0" applyFont="1" applyAlignment="1">
      <alignment horizontal="center" vertical="center"/>
    </xf>
    <xf numFmtId="0" fontId="12" fillId="2" borderId="1" xfId="0" applyFont="1" applyFill="1" applyBorder="1" applyAlignment="1">
      <alignment horizontal="center" vertical="center" wrapText="1"/>
    </xf>
    <xf numFmtId="14" fontId="15" fillId="2" borderId="1" xfId="0" applyNumberFormat="1" applyFont="1" applyFill="1" applyBorder="1" applyAlignment="1">
      <alignment horizontal="center" vertical="center" wrapText="1"/>
    </xf>
    <xf numFmtId="0" fontId="3" fillId="0" borderId="3" xfId="0" applyFont="1" applyBorder="1" applyAlignment="1">
      <alignment horizontal="left" wrapText="1"/>
    </xf>
    <xf numFmtId="0" fontId="0" fillId="0" borderId="3" xfId="0" applyBorder="1" applyAlignment="1">
      <alignment horizontal="left" wrapText="1"/>
    </xf>
    <xf numFmtId="0" fontId="12" fillId="2" borderId="4" xfId="0" applyFont="1" applyFill="1" applyBorder="1" applyAlignment="1">
      <alignment horizontal="center" vertical="center" wrapText="1"/>
    </xf>
    <xf numFmtId="0" fontId="12" fillId="2" borderId="9" xfId="0" applyFont="1" applyFill="1" applyBorder="1" applyAlignment="1">
      <alignment horizontal="center" vertical="center" wrapText="1"/>
    </xf>
  </cellXfs>
  <cellStyles count="6">
    <cellStyle name="Comma 2" xfId="2" xr:uid="{00000000-0005-0000-0000-000000000000}"/>
    <cellStyle name="Normal" xfId="0" builtinId="0"/>
    <cellStyle name="Normal 2" xfId="1" xr:uid="{00000000-0005-0000-0000-000002000000}"/>
    <cellStyle name="Normal 2 2" xfId="5" xr:uid="{00000000-0005-0000-0000-000003000000}"/>
    <cellStyle name="Normal 3" xfId="3" xr:uid="{00000000-0005-0000-0000-000004000000}"/>
    <cellStyle name="Normal 4"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8"/>
  <sheetViews>
    <sheetView tabSelected="1" topLeftCell="A18" zoomScaleNormal="100" workbookViewId="0">
      <selection activeCell="K22" sqref="K22"/>
    </sheetView>
  </sheetViews>
  <sheetFormatPr baseColWidth="10" defaultColWidth="8.83203125" defaultRowHeight="16" x14ac:dyDescent="0.2"/>
  <cols>
    <col min="1" max="1" width="7.1640625" customWidth="1"/>
    <col min="2" max="2" width="26.1640625" customWidth="1"/>
    <col min="3" max="3" width="11.6640625" customWidth="1"/>
    <col min="4" max="4" width="9.6640625" customWidth="1"/>
    <col min="5" max="6" width="8" customWidth="1"/>
    <col min="7" max="7" width="9" customWidth="1"/>
    <col min="8" max="8" width="8.5" customWidth="1"/>
    <col min="9" max="9" width="9.6640625" customWidth="1"/>
    <col min="11" max="11" width="7.5" customWidth="1"/>
    <col min="12" max="12" width="11.1640625" customWidth="1"/>
    <col min="13" max="13" width="7.1640625" customWidth="1"/>
    <col min="14" max="14" width="12.1640625" customWidth="1"/>
  </cols>
  <sheetData>
    <row r="1" spans="1:14" ht="18.75" customHeight="1" x14ac:dyDescent="0.2">
      <c r="A1" s="55" t="s">
        <v>61</v>
      </c>
      <c r="B1" s="55"/>
      <c r="C1" s="55"/>
      <c r="D1" s="55"/>
      <c r="E1" s="55"/>
      <c r="F1" s="55"/>
      <c r="G1" s="55"/>
      <c r="H1" s="55"/>
      <c r="I1" s="55"/>
      <c r="J1" s="55"/>
      <c r="K1" s="55"/>
      <c r="L1" s="55"/>
      <c r="M1" s="55"/>
      <c r="N1" s="55"/>
    </row>
    <row r="2" spans="1:14" s="2" customFormat="1" ht="18.75" customHeight="1" x14ac:dyDescent="0.2">
      <c r="A2" s="1"/>
      <c r="B2" s="56"/>
      <c r="C2" s="56"/>
      <c r="D2" s="56"/>
      <c r="E2" s="56"/>
      <c r="F2" s="56"/>
      <c r="G2" s="56"/>
      <c r="H2" s="56"/>
      <c r="I2" s="56"/>
      <c r="J2" s="56"/>
      <c r="K2" s="56"/>
      <c r="L2" s="56"/>
      <c r="M2" s="56"/>
      <c r="N2" s="56"/>
    </row>
    <row r="3" spans="1:14" ht="18.75" customHeight="1" x14ac:dyDescent="0.2">
      <c r="A3" s="3"/>
      <c r="B3" s="3" t="s">
        <v>62</v>
      </c>
      <c r="C3" s="3"/>
      <c r="D3" s="3"/>
      <c r="E3" s="3"/>
      <c r="F3" s="3"/>
      <c r="G3" s="3"/>
      <c r="H3" s="3"/>
      <c r="I3" s="3"/>
      <c r="J3" s="3"/>
      <c r="K3" s="3"/>
      <c r="L3" s="3"/>
      <c r="M3" s="3"/>
      <c r="N3" s="3"/>
    </row>
    <row r="4" spans="1:14" ht="20.25" customHeight="1" x14ac:dyDescent="0.2">
      <c r="A4" s="57" t="s">
        <v>0</v>
      </c>
      <c r="B4" s="57" t="s">
        <v>2</v>
      </c>
      <c r="C4" s="57" t="s">
        <v>3</v>
      </c>
      <c r="D4" s="57"/>
      <c r="E4" s="57"/>
      <c r="F4" s="57"/>
      <c r="G4" s="57"/>
      <c r="H4" s="57" t="s">
        <v>4</v>
      </c>
      <c r="I4" s="57"/>
      <c r="J4" s="57"/>
      <c r="K4" s="57"/>
      <c r="L4" s="57"/>
      <c r="M4" s="57"/>
      <c r="N4" s="57"/>
    </row>
    <row r="5" spans="1:14" ht="23.25" customHeight="1" x14ac:dyDescent="0.2">
      <c r="A5" s="57"/>
      <c r="B5" s="57"/>
      <c r="C5" s="57" t="s">
        <v>5</v>
      </c>
      <c r="D5" s="57" t="s">
        <v>6</v>
      </c>
      <c r="E5" s="57" t="s">
        <v>7</v>
      </c>
      <c r="F5" s="57" t="s">
        <v>8</v>
      </c>
      <c r="G5" s="61" t="s">
        <v>9</v>
      </c>
      <c r="H5" s="57" t="s">
        <v>10</v>
      </c>
      <c r="I5" s="57"/>
      <c r="J5" s="57" t="s">
        <v>11</v>
      </c>
      <c r="K5" s="57"/>
      <c r="L5" s="57"/>
      <c r="M5" s="46" t="s">
        <v>12</v>
      </c>
      <c r="N5" s="47"/>
    </row>
    <row r="6" spans="1:14" ht="75" customHeight="1" x14ac:dyDescent="0.2">
      <c r="A6" s="57"/>
      <c r="B6" s="57"/>
      <c r="C6" s="57"/>
      <c r="D6" s="57"/>
      <c r="E6" s="57"/>
      <c r="F6" s="57"/>
      <c r="G6" s="62"/>
      <c r="H6" s="4" t="s">
        <v>13</v>
      </c>
      <c r="I6" s="5" t="s">
        <v>14</v>
      </c>
      <c r="J6" s="4" t="s">
        <v>15</v>
      </c>
      <c r="K6" s="4" t="s">
        <v>16</v>
      </c>
      <c r="L6" s="4" t="s">
        <v>17</v>
      </c>
      <c r="M6" s="4" t="s">
        <v>18</v>
      </c>
      <c r="N6" s="4" t="s">
        <v>19</v>
      </c>
    </row>
    <row r="7" spans="1:14" ht="32.25" customHeight="1" x14ac:dyDescent="0.2">
      <c r="A7" s="6" t="s">
        <v>20</v>
      </c>
      <c r="B7" s="6" t="s">
        <v>21</v>
      </c>
      <c r="C7" s="6" t="s">
        <v>22</v>
      </c>
      <c r="D7" s="6" t="s">
        <v>23</v>
      </c>
      <c r="E7" s="6" t="s">
        <v>24</v>
      </c>
      <c r="F7" s="6" t="s">
        <v>25</v>
      </c>
      <c r="G7" s="7" t="s">
        <v>26</v>
      </c>
      <c r="H7" s="6" t="s">
        <v>27</v>
      </c>
      <c r="I7" s="7" t="s">
        <v>28</v>
      </c>
      <c r="J7" s="6" t="s">
        <v>29</v>
      </c>
      <c r="K7" s="8" t="s">
        <v>30</v>
      </c>
      <c r="L7" s="7" t="s">
        <v>31</v>
      </c>
      <c r="M7" s="6" t="s">
        <v>32</v>
      </c>
      <c r="N7" s="7" t="s">
        <v>33</v>
      </c>
    </row>
    <row r="8" spans="1:14" ht="85" x14ac:dyDescent="0.2">
      <c r="A8" s="9">
        <v>1</v>
      </c>
      <c r="B8" s="10" t="s">
        <v>63</v>
      </c>
      <c r="C8" s="11">
        <v>46157</v>
      </c>
      <c r="D8" s="12" t="s">
        <v>36</v>
      </c>
      <c r="E8" s="14">
        <v>1</v>
      </c>
      <c r="F8" s="13">
        <v>1</v>
      </c>
      <c r="G8" s="14">
        <f>E8*F8</f>
        <v>1</v>
      </c>
      <c r="H8" s="13">
        <f>F8</f>
        <v>1</v>
      </c>
      <c r="I8" s="13">
        <f>E8*H8</f>
        <v>1</v>
      </c>
      <c r="J8" s="11">
        <v>46161</v>
      </c>
      <c r="K8" s="13">
        <f>J8-C8</f>
        <v>4</v>
      </c>
      <c r="L8" s="9">
        <f>MAX(0,I8-(K8*25%*I8))</f>
        <v>0</v>
      </c>
      <c r="M8" s="13">
        <v>0</v>
      </c>
      <c r="N8" s="9">
        <f>I8-M8*25%*K8</f>
        <v>1</v>
      </c>
    </row>
    <row r="9" spans="1:14" ht="75" x14ac:dyDescent="0.2">
      <c r="A9" s="9">
        <v>2</v>
      </c>
      <c r="B9" s="18" t="s">
        <v>64</v>
      </c>
      <c r="C9" s="11">
        <v>46152</v>
      </c>
      <c r="D9" s="12" t="s">
        <v>36</v>
      </c>
      <c r="E9" s="23">
        <v>1.18</v>
      </c>
      <c r="F9" s="13">
        <v>1</v>
      </c>
      <c r="G9" s="14">
        <f t="shared" ref="G9:G24" si="0">E9*F9</f>
        <v>1.18</v>
      </c>
      <c r="H9" s="13">
        <f t="shared" ref="H9:H23" si="1">F9</f>
        <v>1</v>
      </c>
      <c r="I9" s="13">
        <f t="shared" ref="I9:I10" si="2">E9*H9</f>
        <v>1.18</v>
      </c>
      <c r="J9" s="11">
        <v>46154</v>
      </c>
      <c r="K9" s="13">
        <f>J9-C9</f>
        <v>2</v>
      </c>
      <c r="L9" s="9">
        <f>I9-K9*25%*I9</f>
        <v>0.59</v>
      </c>
      <c r="M9" s="13">
        <v>1</v>
      </c>
      <c r="N9" s="9">
        <f>I9-M9*25%*K9</f>
        <v>0.67999999999999994</v>
      </c>
    </row>
    <row r="10" spans="1:14" ht="105" x14ac:dyDescent="0.2">
      <c r="A10" s="9">
        <v>3</v>
      </c>
      <c r="B10" s="17" t="s">
        <v>65</v>
      </c>
      <c r="C10" s="11">
        <v>46161</v>
      </c>
      <c r="D10" s="12" t="s">
        <v>1</v>
      </c>
      <c r="E10" s="23">
        <v>1.4</v>
      </c>
      <c r="F10" s="13">
        <v>1</v>
      </c>
      <c r="G10" s="14">
        <f t="shared" si="0"/>
        <v>1.4</v>
      </c>
      <c r="H10" s="13">
        <f t="shared" si="1"/>
        <v>1</v>
      </c>
      <c r="I10" s="13">
        <f t="shared" si="2"/>
        <v>1.4</v>
      </c>
      <c r="J10" s="11">
        <v>46160</v>
      </c>
      <c r="K10" s="13">
        <v>0</v>
      </c>
      <c r="L10" s="9">
        <f>I10-K10*25%*I10</f>
        <v>1.4</v>
      </c>
      <c r="M10" s="13">
        <v>2</v>
      </c>
      <c r="N10" s="9">
        <f>I10-M10*25%*K10</f>
        <v>1.4</v>
      </c>
    </row>
    <row r="11" spans="1:14" ht="51" x14ac:dyDescent="0.2">
      <c r="A11" s="9">
        <v>4</v>
      </c>
      <c r="B11" s="19" t="s">
        <v>66</v>
      </c>
      <c r="C11" s="11">
        <v>46172</v>
      </c>
      <c r="D11" s="20" t="s">
        <v>37</v>
      </c>
      <c r="E11" s="24">
        <v>1.3</v>
      </c>
      <c r="F11" s="13">
        <v>1</v>
      </c>
      <c r="G11" s="14">
        <f t="shared" si="0"/>
        <v>1.3</v>
      </c>
      <c r="H11" s="13">
        <f t="shared" si="1"/>
        <v>1</v>
      </c>
      <c r="I11" s="13">
        <f>E11*H11</f>
        <v>1.3</v>
      </c>
      <c r="J11" s="11">
        <v>46173</v>
      </c>
      <c r="K11" s="13">
        <f>J11-C11</f>
        <v>1</v>
      </c>
      <c r="L11" s="9">
        <f>I11-K11*25%*I11</f>
        <v>0.97500000000000009</v>
      </c>
      <c r="M11" s="13">
        <v>2</v>
      </c>
      <c r="N11" s="9">
        <f t="shared" ref="N11:N24" si="3">I11-M11*25%*K11</f>
        <v>0.8</v>
      </c>
    </row>
    <row r="12" spans="1:14" ht="68" x14ac:dyDescent="0.2">
      <c r="A12" s="9">
        <v>5</v>
      </c>
      <c r="B12" s="10" t="s">
        <v>67</v>
      </c>
      <c r="C12" s="11">
        <v>46157</v>
      </c>
      <c r="D12" s="12" t="s">
        <v>36</v>
      </c>
      <c r="E12" s="14">
        <v>1</v>
      </c>
      <c r="F12" s="13">
        <v>1</v>
      </c>
      <c r="G12" s="14">
        <f t="shared" si="0"/>
        <v>1</v>
      </c>
      <c r="H12" s="13">
        <f t="shared" si="1"/>
        <v>1</v>
      </c>
      <c r="I12" s="13">
        <f>E12*H12</f>
        <v>1</v>
      </c>
      <c r="J12" s="11">
        <v>46161</v>
      </c>
      <c r="K12" s="13">
        <f>J12-C12</f>
        <v>4</v>
      </c>
      <c r="L12" s="9">
        <f>MAX(0,I12-(K12*25%*I12))</f>
        <v>0</v>
      </c>
      <c r="M12" s="13">
        <v>0</v>
      </c>
      <c r="N12" s="9">
        <f t="shared" si="3"/>
        <v>1</v>
      </c>
    </row>
    <row r="13" spans="1:14" ht="105" x14ac:dyDescent="0.2">
      <c r="A13" s="9">
        <v>6</v>
      </c>
      <c r="B13" s="18" t="s">
        <v>68</v>
      </c>
      <c r="C13" s="11">
        <v>46152</v>
      </c>
      <c r="D13" s="12" t="s">
        <v>36</v>
      </c>
      <c r="E13" s="23">
        <v>1.18</v>
      </c>
      <c r="F13" s="13">
        <v>1</v>
      </c>
      <c r="G13" s="14">
        <f t="shared" si="0"/>
        <v>1.18</v>
      </c>
      <c r="H13" s="13">
        <f t="shared" si="1"/>
        <v>1</v>
      </c>
      <c r="I13" s="13">
        <f t="shared" ref="I13:I14" si="4">E13*H13</f>
        <v>1.18</v>
      </c>
      <c r="J13" s="11">
        <v>46154</v>
      </c>
      <c r="K13" s="13">
        <f>J13-C13</f>
        <v>2</v>
      </c>
      <c r="L13" s="9">
        <f>I13-K13*25%*I13</f>
        <v>0.59</v>
      </c>
      <c r="M13" s="13">
        <v>1</v>
      </c>
      <c r="N13" s="9">
        <f t="shared" si="3"/>
        <v>0.67999999999999994</v>
      </c>
    </row>
    <row r="14" spans="1:14" ht="90" x14ac:dyDescent="0.2">
      <c r="A14" s="9">
        <v>7</v>
      </c>
      <c r="B14" s="17" t="s">
        <v>69</v>
      </c>
      <c r="C14" s="11">
        <v>46161</v>
      </c>
      <c r="D14" s="12" t="s">
        <v>1</v>
      </c>
      <c r="E14" s="23">
        <v>1.4</v>
      </c>
      <c r="F14" s="13">
        <v>1</v>
      </c>
      <c r="G14" s="14">
        <f t="shared" si="0"/>
        <v>1.4</v>
      </c>
      <c r="H14" s="13">
        <f t="shared" si="1"/>
        <v>1</v>
      </c>
      <c r="I14" s="13">
        <f t="shared" si="4"/>
        <v>1.4</v>
      </c>
      <c r="J14" s="11">
        <v>46160</v>
      </c>
      <c r="K14" s="13">
        <v>0</v>
      </c>
      <c r="L14" s="9">
        <f>I14-K14*25%*I14</f>
        <v>1.4</v>
      </c>
      <c r="M14" s="13">
        <v>2</v>
      </c>
      <c r="N14" s="9">
        <f t="shared" si="3"/>
        <v>1.4</v>
      </c>
    </row>
    <row r="15" spans="1:14" ht="165" x14ac:dyDescent="0.2">
      <c r="A15" s="9">
        <v>8</v>
      </c>
      <c r="B15" s="19" t="s">
        <v>70</v>
      </c>
      <c r="C15" s="11">
        <v>46172</v>
      </c>
      <c r="D15" s="20" t="s">
        <v>37</v>
      </c>
      <c r="E15" s="24">
        <v>1.3</v>
      </c>
      <c r="F15" s="13">
        <v>1</v>
      </c>
      <c r="G15" s="14">
        <f t="shared" si="0"/>
        <v>1.3</v>
      </c>
      <c r="H15" s="13">
        <f t="shared" si="1"/>
        <v>1</v>
      </c>
      <c r="I15" s="13">
        <f>E15*H15</f>
        <v>1.3</v>
      </c>
      <c r="J15" s="11">
        <v>46173</v>
      </c>
      <c r="K15" s="13">
        <f>J15-C15</f>
        <v>1</v>
      </c>
      <c r="L15" s="9">
        <f>I15-K15*25%*I15</f>
        <v>0.97500000000000009</v>
      </c>
      <c r="M15" s="13">
        <v>2</v>
      </c>
      <c r="N15" s="9">
        <f t="shared" si="3"/>
        <v>0.8</v>
      </c>
    </row>
    <row r="16" spans="1:14" ht="136" x14ac:dyDescent="0.2">
      <c r="A16" s="9">
        <v>9</v>
      </c>
      <c r="B16" s="10" t="s">
        <v>71</v>
      </c>
      <c r="C16" s="11">
        <v>46157</v>
      </c>
      <c r="D16" s="12" t="s">
        <v>36</v>
      </c>
      <c r="E16" s="14">
        <v>1</v>
      </c>
      <c r="F16" s="13">
        <v>1</v>
      </c>
      <c r="G16" s="14">
        <f t="shared" si="0"/>
        <v>1</v>
      </c>
      <c r="H16" s="13">
        <f t="shared" si="1"/>
        <v>1</v>
      </c>
      <c r="I16" s="13">
        <f>E16*H16</f>
        <v>1</v>
      </c>
      <c r="J16" s="11">
        <v>46161</v>
      </c>
      <c r="K16" s="13">
        <f>J16-C16</f>
        <v>4</v>
      </c>
      <c r="L16" s="9">
        <f>MAX(0,I16-(K16*25%*I16))</f>
        <v>0</v>
      </c>
      <c r="M16" s="13">
        <v>0</v>
      </c>
      <c r="N16" s="9">
        <f t="shared" si="3"/>
        <v>1</v>
      </c>
    </row>
    <row r="17" spans="1:14" ht="17" x14ac:dyDescent="0.2">
      <c r="A17" s="9">
        <v>10</v>
      </c>
      <c r="B17" s="18" t="s">
        <v>72</v>
      </c>
      <c r="C17" s="11">
        <v>46152</v>
      </c>
      <c r="D17" s="12" t="s">
        <v>36</v>
      </c>
      <c r="E17" s="23">
        <v>1.18</v>
      </c>
      <c r="F17" s="13">
        <v>1</v>
      </c>
      <c r="G17" s="14">
        <f t="shared" si="0"/>
        <v>1.18</v>
      </c>
      <c r="H17" s="13">
        <f t="shared" si="1"/>
        <v>1</v>
      </c>
      <c r="I17" s="13">
        <f t="shared" ref="I17:I18" si="5">E17*H17</f>
        <v>1.18</v>
      </c>
      <c r="J17" s="11">
        <v>46154</v>
      </c>
      <c r="K17" s="13">
        <f>J17-C17</f>
        <v>2</v>
      </c>
      <c r="L17" s="9">
        <f>I17-K17*25%*I17</f>
        <v>0.59</v>
      </c>
      <c r="M17" s="13">
        <v>1</v>
      </c>
      <c r="N17" s="9">
        <f t="shared" si="3"/>
        <v>0.67999999999999994</v>
      </c>
    </row>
    <row r="18" spans="1:14" ht="75" x14ac:dyDescent="0.2">
      <c r="A18" s="9">
        <v>11</v>
      </c>
      <c r="B18" s="17" t="s">
        <v>73</v>
      </c>
      <c r="C18" s="11">
        <v>46161</v>
      </c>
      <c r="D18" s="12" t="s">
        <v>1</v>
      </c>
      <c r="E18" s="23">
        <v>1.4</v>
      </c>
      <c r="F18" s="13">
        <v>1</v>
      </c>
      <c r="G18" s="14">
        <f t="shared" si="0"/>
        <v>1.4</v>
      </c>
      <c r="H18" s="13">
        <f t="shared" si="1"/>
        <v>1</v>
      </c>
      <c r="I18" s="13">
        <f t="shared" si="5"/>
        <v>1.4</v>
      </c>
      <c r="J18" s="11">
        <v>46160</v>
      </c>
      <c r="K18" s="13">
        <v>0</v>
      </c>
      <c r="L18" s="9">
        <f>I18-K18*25%*I18</f>
        <v>1.4</v>
      </c>
      <c r="M18" s="13">
        <v>2</v>
      </c>
      <c r="N18" s="9">
        <f t="shared" si="3"/>
        <v>1.4</v>
      </c>
    </row>
    <row r="19" spans="1:14" ht="120" x14ac:dyDescent="0.2">
      <c r="A19" s="9">
        <v>12</v>
      </c>
      <c r="B19" s="19" t="s">
        <v>74</v>
      </c>
      <c r="C19" s="11">
        <v>46172</v>
      </c>
      <c r="D19" s="20" t="s">
        <v>37</v>
      </c>
      <c r="E19" s="24">
        <v>1.3</v>
      </c>
      <c r="F19" s="13">
        <v>1</v>
      </c>
      <c r="G19" s="14">
        <f t="shared" si="0"/>
        <v>1.3</v>
      </c>
      <c r="H19" s="13">
        <f t="shared" si="1"/>
        <v>1</v>
      </c>
      <c r="I19" s="13">
        <f>E19*H19</f>
        <v>1.3</v>
      </c>
      <c r="J19" s="11">
        <v>46173</v>
      </c>
      <c r="K19" s="13">
        <f>J19-C19</f>
        <v>1</v>
      </c>
      <c r="L19" s="9">
        <f>I19-K19*25%*I19</f>
        <v>0.97500000000000009</v>
      </c>
      <c r="M19" s="13">
        <v>2</v>
      </c>
      <c r="N19" s="9">
        <f t="shared" si="3"/>
        <v>0.8</v>
      </c>
    </row>
    <row r="20" spans="1:14" ht="17" x14ac:dyDescent="0.2">
      <c r="A20" s="9">
        <v>13</v>
      </c>
      <c r="B20" s="10" t="s">
        <v>75</v>
      </c>
      <c r="C20" s="11">
        <v>46157</v>
      </c>
      <c r="D20" s="12" t="s">
        <v>36</v>
      </c>
      <c r="E20" s="14">
        <v>1</v>
      </c>
      <c r="F20" s="13">
        <v>1</v>
      </c>
      <c r="G20" s="14">
        <f t="shared" si="0"/>
        <v>1</v>
      </c>
      <c r="H20" s="13">
        <f t="shared" si="1"/>
        <v>1</v>
      </c>
      <c r="I20" s="13">
        <f>E20*H20</f>
        <v>1</v>
      </c>
      <c r="J20" s="11">
        <v>46161</v>
      </c>
      <c r="K20" s="13">
        <f>J20-C20</f>
        <v>4</v>
      </c>
      <c r="L20" s="9">
        <f>MAX(0,I20-(K20*25%*I20))</f>
        <v>0</v>
      </c>
      <c r="M20" s="13">
        <v>0</v>
      </c>
      <c r="N20" s="9">
        <f t="shared" si="3"/>
        <v>1</v>
      </c>
    </row>
    <row r="21" spans="1:14" ht="75" x14ac:dyDescent="0.2">
      <c r="A21" s="9">
        <v>14</v>
      </c>
      <c r="B21" s="18" t="s">
        <v>76</v>
      </c>
      <c r="C21" s="11">
        <v>46152</v>
      </c>
      <c r="D21" s="12" t="s">
        <v>36</v>
      </c>
      <c r="E21" s="23">
        <v>1.18</v>
      </c>
      <c r="F21" s="13">
        <v>1</v>
      </c>
      <c r="G21" s="14">
        <f t="shared" si="0"/>
        <v>1.18</v>
      </c>
      <c r="H21" s="13">
        <f t="shared" si="1"/>
        <v>1</v>
      </c>
      <c r="I21" s="13">
        <f t="shared" ref="I21:I22" si="6">E21*H21</f>
        <v>1.18</v>
      </c>
      <c r="J21" s="11">
        <v>46154</v>
      </c>
      <c r="K21" s="13">
        <f>J21-C21</f>
        <v>2</v>
      </c>
      <c r="L21" s="9">
        <f>I21-K21*25%*I21</f>
        <v>0.59</v>
      </c>
      <c r="M21" s="13">
        <v>1</v>
      </c>
      <c r="N21" s="9">
        <f t="shared" si="3"/>
        <v>0.67999999999999994</v>
      </c>
    </row>
    <row r="22" spans="1:14" ht="34" x14ac:dyDescent="0.2">
      <c r="A22" s="9">
        <v>15</v>
      </c>
      <c r="B22" s="17" t="s">
        <v>77</v>
      </c>
      <c r="C22" s="11">
        <v>46161</v>
      </c>
      <c r="D22" s="12" t="s">
        <v>1</v>
      </c>
      <c r="E22" s="23">
        <v>1.4</v>
      </c>
      <c r="F22" s="13">
        <v>1</v>
      </c>
      <c r="G22" s="14">
        <f t="shared" si="0"/>
        <v>1.4</v>
      </c>
      <c r="H22" s="13">
        <f t="shared" si="1"/>
        <v>1</v>
      </c>
      <c r="I22" s="13">
        <f t="shared" si="6"/>
        <v>1.4</v>
      </c>
      <c r="J22" s="11">
        <v>46160</v>
      </c>
      <c r="K22" s="13">
        <v>0</v>
      </c>
      <c r="L22" s="9">
        <f>I22-K22*25%*I22</f>
        <v>1.4</v>
      </c>
      <c r="M22" s="13">
        <v>2</v>
      </c>
      <c r="N22" s="9">
        <f t="shared" si="3"/>
        <v>1.4</v>
      </c>
    </row>
    <row r="23" spans="1:14" ht="120" x14ac:dyDescent="0.2">
      <c r="A23" s="9">
        <v>16</v>
      </c>
      <c r="B23" s="19" t="s">
        <v>78</v>
      </c>
      <c r="C23" s="11">
        <v>46172</v>
      </c>
      <c r="D23" s="20" t="s">
        <v>37</v>
      </c>
      <c r="E23" s="24">
        <v>1.3</v>
      </c>
      <c r="F23" s="13">
        <v>1</v>
      </c>
      <c r="G23" s="14">
        <f t="shared" si="0"/>
        <v>1.3</v>
      </c>
      <c r="H23" s="13">
        <f t="shared" si="1"/>
        <v>1</v>
      </c>
      <c r="I23" s="13">
        <f>E23*H23</f>
        <v>1.3</v>
      </c>
      <c r="J23" s="11">
        <v>46173</v>
      </c>
      <c r="K23" s="13">
        <f>J23-C23</f>
        <v>1</v>
      </c>
      <c r="L23" s="9">
        <f>I23-K23*25%*I23</f>
        <v>0.97500000000000009</v>
      </c>
      <c r="M23" s="13">
        <v>2</v>
      </c>
      <c r="N23" s="9">
        <f t="shared" si="3"/>
        <v>0.8</v>
      </c>
    </row>
    <row r="24" spans="1:14" ht="24.75" customHeight="1" x14ac:dyDescent="0.2">
      <c r="A24" s="48" t="s">
        <v>34</v>
      </c>
      <c r="B24" s="49"/>
      <c r="C24" s="49"/>
      <c r="D24" s="49"/>
      <c r="E24" s="22"/>
      <c r="F24" s="21"/>
      <c r="G24" s="14">
        <f>SUM(G8:G23)</f>
        <v>19.52</v>
      </c>
      <c r="H24" s="13"/>
      <c r="I24" s="14">
        <f>SUM(I8:I23)</f>
        <v>19.52</v>
      </c>
      <c r="J24" s="15"/>
      <c r="K24" s="13"/>
      <c r="L24" s="14">
        <f>SUM(L8:L23)</f>
        <v>11.86</v>
      </c>
      <c r="M24" s="13"/>
      <c r="N24" s="9">
        <f>SUM(N8:N23)</f>
        <v>15.52</v>
      </c>
    </row>
    <row r="25" spans="1:14" ht="24" customHeight="1" x14ac:dyDescent="0.2">
      <c r="A25" s="58" t="s">
        <v>35</v>
      </c>
      <c r="B25" s="58"/>
      <c r="C25" s="58"/>
      <c r="D25" s="58"/>
      <c r="E25" s="58"/>
      <c r="F25" s="58"/>
      <c r="G25" s="13"/>
      <c r="H25" s="13"/>
      <c r="I25" s="16">
        <f>I24/G24</f>
        <v>1</v>
      </c>
      <c r="J25" s="31"/>
      <c r="K25" s="16"/>
      <c r="L25" s="16">
        <f>L24/G24</f>
        <v>0.60758196721311475</v>
      </c>
      <c r="M25" s="16"/>
      <c r="N25" s="16">
        <f>N24/G24</f>
        <v>0.79508196721311475</v>
      </c>
    </row>
    <row r="26" spans="1:14" ht="48.75" customHeight="1" x14ac:dyDescent="0.2">
      <c r="A26" s="59" t="s">
        <v>39</v>
      </c>
      <c r="B26" s="60"/>
      <c r="C26" s="60"/>
      <c r="D26" s="60"/>
      <c r="E26" s="60"/>
      <c r="F26" s="60"/>
      <c r="G26" s="60"/>
      <c r="H26" s="60"/>
      <c r="I26" s="60"/>
      <c r="J26" s="60"/>
      <c r="K26" s="60"/>
      <c r="L26" s="60"/>
      <c r="M26" s="60"/>
      <c r="N26" s="60"/>
    </row>
    <row r="28" spans="1:14" ht="56.25" customHeight="1" x14ac:dyDescent="0.2">
      <c r="A28" s="26" t="s">
        <v>38</v>
      </c>
      <c r="B28" s="53" t="s">
        <v>40</v>
      </c>
      <c r="C28" s="53"/>
      <c r="D28" s="53"/>
      <c r="E28" s="53"/>
      <c r="F28" s="53"/>
      <c r="G28" s="53"/>
      <c r="H28" s="27" t="s">
        <v>53</v>
      </c>
      <c r="I28" s="53" t="s">
        <v>54</v>
      </c>
      <c r="J28" s="53"/>
      <c r="K28" s="38" t="s">
        <v>56</v>
      </c>
      <c r="L28" s="38"/>
      <c r="M28" s="38" t="s">
        <v>57</v>
      </c>
      <c r="N28" s="38"/>
    </row>
    <row r="29" spans="1:14" ht="27.75" customHeight="1" x14ac:dyDescent="0.2">
      <c r="A29" s="29">
        <v>1</v>
      </c>
      <c r="B29" s="30">
        <v>2</v>
      </c>
      <c r="C29" s="29">
        <v>3</v>
      </c>
      <c r="D29" s="30">
        <v>4</v>
      </c>
      <c r="E29" s="29">
        <v>5</v>
      </c>
      <c r="F29" s="30">
        <v>6</v>
      </c>
      <c r="G29" s="29">
        <v>7</v>
      </c>
      <c r="H29" s="30">
        <v>8</v>
      </c>
      <c r="I29" s="39">
        <v>9</v>
      </c>
      <c r="J29" s="39"/>
      <c r="K29" s="39" t="s">
        <v>58</v>
      </c>
      <c r="L29" s="39"/>
      <c r="M29" s="39" t="s">
        <v>59</v>
      </c>
      <c r="N29" s="39"/>
    </row>
    <row r="30" spans="1:14" ht="19" x14ac:dyDescent="0.2">
      <c r="A30" s="25" t="s">
        <v>47</v>
      </c>
      <c r="B30" s="50" t="s">
        <v>41</v>
      </c>
      <c r="C30" s="50"/>
      <c r="D30" s="50"/>
      <c r="E30" s="50"/>
      <c r="F30" s="50"/>
      <c r="G30" s="50"/>
      <c r="H30" s="28" t="s">
        <v>55</v>
      </c>
      <c r="I30" s="51">
        <f>I25</f>
        <v>1</v>
      </c>
      <c r="J30" s="51"/>
      <c r="K30" s="40">
        <f>(I30+I31+I32)/3</f>
        <v>0.80088797814207646</v>
      </c>
      <c r="L30" s="41"/>
      <c r="M30" s="40">
        <f>SUM(I30:J35)/6</f>
        <v>0.81711065573770492</v>
      </c>
      <c r="N30" s="41"/>
    </row>
    <row r="31" spans="1:14" ht="19" x14ac:dyDescent="0.2">
      <c r="A31" s="25" t="s">
        <v>48</v>
      </c>
      <c r="B31" s="50" t="s">
        <v>42</v>
      </c>
      <c r="C31" s="50"/>
      <c r="D31" s="50"/>
      <c r="E31" s="50"/>
      <c r="F31" s="50"/>
      <c r="G31" s="50"/>
      <c r="H31" s="28" t="s">
        <v>55</v>
      </c>
      <c r="I31" s="51">
        <f>N25</f>
        <v>0.79508196721311475</v>
      </c>
      <c r="J31" s="51"/>
      <c r="K31" s="42"/>
      <c r="L31" s="43"/>
      <c r="M31" s="42"/>
      <c r="N31" s="43"/>
    </row>
    <row r="32" spans="1:14" ht="19" x14ac:dyDescent="0.2">
      <c r="A32" s="25" t="s">
        <v>49</v>
      </c>
      <c r="B32" s="50" t="s">
        <v>43</v>
      </c>
      <c r="C32" s="50"/>
      <c r="D32" s="50"/>
      <c r="E32" s="50"/>
      <c r="F32" s="50"/>
      <c r="G32" s="50"/>
      <c r="H32" s="28" t="s">
        <v>55</v>
      </c>
      <c r="I32" s="51">
        <f>L25</f>
        <v>0.60758196721311475</v>
      </c>
      <c r="J32" s="51"/>
      <c r="K32" s="44"/>
      <c r="L32" s="45"/>
      <c r="M32" s="42"/>
      <c r="N32" s="43"/>
    </row>
    <row r="33" spans="1:14" ht="38.25" customHeight="1" x14ac:dyDescent="0.2">
      <c r="A33" s="25" t="s">
        <v>50</v>
      </c>
      <c r="B33" s="50" t="s">
        <v>44</v>
      </c>
      <c r="C33" s="50"/>
      <c r="D33" s="50"/>
      <c r="E33" s="50"/>
      <c r="F33" s="50"/>
      <c r="G33" s="50"/>
      <c r="H33" s="28" t="s">
        <v>55</v>
      </c>
      <c r="I33" s="52">
        <v>1</v>
      </c>
      <c r="J33" s="52"/>
      <c r="K33" s="32"/>
      <c r="L33" s="33"/>
      <c r="M33" s="42"/>
      <c r="N33" s="43"/>
    </row>
    <row r="34" spans="1:14" ht="25.5" customHeight="1" x14ac:dyDescent="0.2">
      <c r="A34" s="25" t="s">
        <v>51</v>
      </c>
      <c r="B34" s="50" t="s">
        <v>45</v>
      </c>
      <c r="C34" s="50"/>
      <c r="D34" s="50"/>
      <c r="E34" s="50"/>
      <c r="F34" s="50"/>
      <c r="G34" s="50"/>
      <c r="H34" s="28" t="s">
        <v>55</v>
      </c>
      <c r="I34" s="52">
        <v>0.5</v>
      </c>
      <c r="J34" s="52"/>
      <c r="K34" s="34"/>
      <c r="L34" s="35"/>
      <c r="M34" s="42"/>
      <c r="N34" s="43"/>
    </row>
    <row r="35" spans="1:14" ht="36" customHeight="1" x14ac:dyDescent="0.2">
      <c r="A35" s="25" t="s">
        <v>52</v>
      </c>
      <c r="B35" s="50" t="s">
        <v>46</v>
      </c>
      <c r="C35" s="50"/>
      <c r="D35" s="50"/>
      <c r="E35" s="50"/>
      <c r="F35" s="50"/>
      <c r="G35" s="50"/>
      <c r="H35" s="28" t="s">
        <v>55</v>
      </c>
      <c r="I35" s="52">
        <v>1</v>
      </c>
      <c r="J35" s="52"/>
      <c r="K35" s="36"/>
      <c r="L35" s="37"/>
      <c r="M35" s="44"/>
      <c r="N35" s="45"/>
    </row>
    <row r="38" spans="1:14" ht="57.75" customHeight="1" x14ac:dyDescent="0.2">
      <c r="A38" s="54" t="s">
        <v>60</v>
      </c>
      <c r="B38" s="54"/>
      <c r="C38" s="54"/>
      <c r="D38" s="54"/>
      <c r="E38" s="54"/>
      <c r="F38" s="54"/>
      <c r="G38" s="54"/>
      <c r="H38" s="54"/>
      <c r="I38" s="54"/>
      <c r="J38" s="54"/>
      <c r="K38" s="54"/>
      <c r="L38" s="54"/>
      <c r="M38" s="54"/>
      <c r="N38" s="54"/>
    </row>
  </sheetData>
  <mergeCells count="40">
    <mergeCell ref="A38:N38"/>
    <mergeCell ref="A1:N1"/>
    <mergeCell ref="B2:N2"/>
    <mergeCell ref="A4:A6"/>
    <mergeCell ref="B4:B6"/>
    <mergeCell ref="C4:G4"/>
    <mergeCell ref="H4:N4"/>
    <mergeCell ref="C5:C6"/>
    <mergeCell ref="D5:D6"/>
    <mergeCell ref="E5:E6"/>
    <mergeCell ref="A25:F25"/>
    <mergeCell ref="A26:N26"/>
    <mergeCell ref="F5:F6"/>
    <mergeCell ref="G5:G6"/>
    <mergeCell ref="H5:I5"/>
    <mergeCell ref="J5:L5"/>
    <mergeCell ref="M5:N5"/>
    <mergeCell ref="A24:D24"/>
    <mergeCell ref="B33:G33"/>
    <mergeCell ref="B34:G34"/>
    <mergeCell ref="B35:G35"/>
    <mergeCell ref="I32:J32"/>
    <mergeCell ref="I33:J33"/>
    <mergeCell ref="I34:J34"/>
    <mergeCell ref="I35:J35"/>
    <mergeCell ref="B30:G30"/>
    <mergeCell ref="B31:G31"/>
    <mergeCell ref="B32:G32"/>
    <mergeCell ref="B28:G28"/>
    <mergeCell ref="I28:J28"/>
    <mergeCell ref="I30:J30"/>
    <mergeCell ref="I31:J31"/>
    <mergeCell ref="K33:L35"/>
    <mergeCell ref="K28:L28"/>
    <mergeCell ref="M28:N28"/>
    <mergeCell ref="K29:L29"/>
    <mergeCell ref="I29:J29"/>
    <mergeCell ref="M29:N29"/>
    <mergeCell ref="K30:L32"/>
    <mergeCell ref="M30:N35"/>
  </mergeCells>
  <pageMargins left="0.31496062992125984" right="0.31496062992125984" top="0.55000000000000004" bottom="0.74803149606299213" header="0.31496062992125984" footer="0.31496062992125984"/>
  <pageSetup paperSize="9" scale="90" orientation="landscape"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Pl4 Tinh diem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THANH GIONG</dc:creator>
  <cp:lastModifiedBy>Microsoft Office User</cp:lastModifiedBy>
  <cp:lastPrinted>2026-06-12T07:25:28Z</cp:lastPrinted>
  <dcterms:created xsi:type="dcterms:W3CDTF">2026-01-23T04:22:51Z</dcterms:created>
  <dcterms:modified xsi:type="dcterms:W3CDTF">2026-07-27T07:29:57Z</dcterms:modified>
</cp:coreProperties>
</file>